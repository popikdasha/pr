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78a780933ae4fa83/Desktop/"/>
    </mc:Choice>
  </mc:AlternateContent>
  <xr:revisionPtr revIDLastSave="2" documentId="11_AD4DF75460589B3ACB7284E4CF5D6E7A5BDEDDA3" xr6:coauthVersionLast="47" xr6:coauthVersionMax="47" xr10:uidLastSave="{424DF4D0-0248-48E7-8948-157A17FD6FBC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solver_adj" localSheetId="0" hidden="1">Лист1!$A$102:$B$102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Лист1!$A$102:$B$102</definedName>
    <definedName name="solver_lhs2" localSheetId="0" hidden="1">Лист1!$C$107:$C$110</definedName>
    <definedName name="solver_lhs3" localSheetId="0" hidden="1">Лист1!$C$46:$C$47</definedName>
    <definedName name="solver_lhs4" localSheetId="0" hidden="1">Лист1!$C$47</definedName>
    <definedName name="solver_lhs5" localSheetId="0" hidden="1">Лист1!$C$47</definedName>
    <definedName name="solver_lhs6" localSheetId="0" hidden="1">Лист1!$C$47</definedName>
    <definedName name="solver_lhs7" localSheetId="0" hidden="1">Лист1!$C$47</definedName>
    <definedName name="solver_lhs8" localSheetId="0" hidden="1">Лист1!$C$47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Лист1!$C$105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1</definedName>
    <definedName name="solver_rel3" localSheetId="0" hidden="1">3</definedName>
    <definedName name="solver_rel4" localSheetId="0" hidden="1">3</definedName>
    <definedName name="solver_rel5" localSheetId="0" hidden="1">3</definedName>
    <definedName name="solver_rel6" localSheetId="0" hidden="1">3</definedName>
    <definedName name="solver_rel7" localSheetId="0" hidden="1">3</definedName>
    <definedName name="solver_rel8" localSheetId="0" hidden="1">3</definedName>
    <definedName name="solver_rhs1" localSheetId="0" hidden="1">0</definedName>
    <definedName name="solver_rhs2" localSheetId="0" hidden="1">Лист1!$E$107:$E$110</definedName>
    <definedName name="solver_rhs3" localSheetId="0" hidden="1">Лист1!$E$46:$E$47</definedName>
    <definedName name="solver_rhs4" localSheetId="0" hidden="1">Лист1!$E$47</definedName>
    <definedName name="solver_rhs5" localSheetId="0" hidden="1">Лист1!$E$47</definedName>
    <definedName name="solver_rhs6" localSheetId="0" hidden="1">Лист1!$E$47</definedName>
    <definedName name="solver_rhs7" localSheetId="0" hidden="1">Лист1!$E$47</definedName>
    <definedName name="solver_rhs8" localSheetId="0" hidden="1">Лист1!$E$47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5" i="1" l="1"/>
  <c r="C110" i="1"/>
  <c r="C109" i="1"/>
  <c r="C108" i="1"/>
  <c r="C107" i="1"/>
  <c r="C39" i="1"/>
  <c r="C42" i="1"/>
  <c r="C43" i="1"/>
  <c r="C44" i="1"/>
  <c r="C45" i="1"/>
  <c r="C46" i="1"/>
  <c r="C47" i="1"/>
  <c r="C41" i="1"/>
</calcChain>
</file>

<file path=xl/sharedStrings.xml><?xml version="1.0" encoding="utf-8"?>
<sst xmlns="http://schemas.openxmlformats.org/spreadsheetml/2006/main" count="38" uniqueCount="18">
  <si>
    <t>Решение ЗЛП</t>
  </si>
  <si>
    <t>Проверим решение полученное графическим методом с помощью Excel</t>
  </si>
  <si>
    <t>Переменные</t>
  </si>
  <si>
    <t>х1</t>
  </si>
  <si>
    <t>х2</t>
  </si>
  <si>
    <t>Коэффициенты ЦФ</t>
  </si>
  <si>
    <t>ЦФ</t>
  </si>
  <si>
    <t>Коэффициенты ограничений</t>
  </si>
  <si>
    <t>Ограничения</t>
  </si>
  <si>
    <t>≤</t>
  </si>
  <si>
    <t>≥</t>
  </si>
  <si>
    <t>Решение полученное графическим методом верно.</t>
  </si>
  <si>
    <r>
      <t>Предприятие выпускает два вида продукции, при этом он располагает фондом рабочего времени 4000 чел/час. Для производства единицы продукции первого вида требуется 1 чел/час, второго -  2 чел</t>
    </r>
    <r>
      <rPr>
        <sz val="11"/>
        <color rgb="FF000000"/>
        <rFont val="Calibri"/>
        <family val="2"/>
        <charset val="204"/>
        <scheme val="minor"/>
      </rPr>
      <t>/</t>
    </r>
    <r>
      <rPr>
        <sz val="13.95"/>
        <color rgb="FF000000"/>
        <rFont val="Times New Roman"/>
        <family val="1"/>
        <charset val="204"/>
      </rPr>
      <t>час. Мощность производства позволяет выпускать 2250 ед. первого и 1750 ед. второго вида продукции месяц. Для изготовления единицы продукции первого вида требуется 2 кг металла и 5 кг иного материала. Для изготовления второго вида – 5 кг металла и 2 кг иного материала. Запасов сырья металла и иного материала по 10000 кг. Производство поставляет ежемесячно 600 ед. первого вида продукции и общее количество продукции не менее 1500 ед. по договору. Составить план производства на максимальную прибыль, если доход от единицы первого вида продукции 30 у.е., а второго - 40 у.е.</t>
    </r>
  </si>
  <si>
    <t>Типовое задание 1</t>
  </si>
  <si>
    <t>Вывод: максимальная прибыль в размере 95000 у.е. может быть получена при выпуске пролдукции первого вида 1500 ед. и второго вида 1250 ед.</t>
  </si>
  <si>
    <t>Типовое задание 2</t>
  </si>
  <si>
    <t>Вариант 9</t>
  </si>
  <si>
    <t>Вывод: максимальный доход может быть получен в размере 12 целых 2/3 тысячи при объеме выпуска продукции 1-го вида 10/3 т и продукции второго вида -- 4/3 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</si>
</sst>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3.95"/>
      <color rgb="FF000000"/>
      <name val="Times New Roman"/>
      <family val="1"/>
      <charset val="204"/>
    </font>
    <font>
      <sz val="11"/>
      <color rgb="FF00000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0" fillId="2" borderId="0" xfId="0" applyFill="1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3" borderId="1" xfId="0" applyFont="1" applyFill="1" applyBorder="1" applyAlignment="1">
      <alignment horizontal="right"/>
    </xf>
    <xf numFmtId="0" fontId="2" fillId="0" borderId="0" xfId="0" applyFont="1" applyAlignment="1">
      <alignment horizontal="right"/>
    </xf>
    <xf numFmtId="0" fontId="0" fillId="4" borderId="0" xfId="0" applyFill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1" fillId="0" borderId="0" xfId="0" applyFont="1"/>
    <xf numFmtId="0" fontId="1" fillId="0" borderId="0" xfId="0" applyFont="1" applyAlignment="1">
      <alignment horizontal="right"/>
    </xf>
    <xf numFmtId="12" fontId="0" fillId="2" borderId="0" xfId="0" applyNumberFormat="1" applyFill="1"/>
    <xf numFmtId="12" fontId="2" fillId="3" borderId="1" xfId="0" applyNumberFormat="1" applyFont="1" applyFill="1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561975</xdr:colOff>
      <xdr:row>39</xdr:row>
      <xdr:rowOff>104775</xdr:rowOff>
    </xdr:from>
    <xdr:ext cx="47625" cy="180975"/>
    <xdr:sp macro="" textlink="">
      <xdr:nvSpPr>
        <xdr:cNvPr id="2" name="Shape 7">
          <a:extLst>
            <a:ext uri="{FF2B5EF4-FFF2-40B4-BE49-F238E27FC236}">
              <a16:creationId xmlns:a16="http://schemas.microsoft.com/office/drawing/2014/main" id="{B4ECE25D-7A6C-48E3-985A-E4277374E95C}"/>
            </a:ext>
          </a:extLst>
        </xdr:cNvPr>
        <xdr:cNvSpPr txBox="1"/>
      </xdr:nvSpPr>
      <xdr:spPr>
        <a:xfrm>
          <a:off x="3467100" y="9620250"/>
          <a:ext cx="476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561975</xdr:colOff>
      <xdr:row>44</xdr:row>
      <xdr:rowOff>104775</xdr:rowOff>
    </xdr:from>
    <xdr:ext cx="47625" cy="180975"/>
    <xdr:sp macro="" textlink="">
      <xdr:nvSpPr>
        <xdr:cNvPr id="3" name="Shape 7">
          <a:extLst>
            <a:ext uri="{FF2B5EF4-FFF2-40B4-BE49-F238E27FC236}">
              <a16:creationId xmlns:a16="http://schemas.microsoft.com/office/drawing/2014/main" id="{2DB1224B-96A7-460F-A330-454071BF6DDE}"/>
            </a:ext>
          </a:extLst>
        </xdr:cNvPr>
        <xdr:cNvSpPr txBox="1"/>
      </xdr:nvSpPr>
      <xdr:spPr>
        <a:xfrm>
          <a:off x="1724025" y="10620375"/>
          <a:ext cx="476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561975</xdr:colOff>
      <xdr:row>45</xdr:row>
      <xdr:rowOff>104775</xdr:rowOff>
    </xdr:from>
    <xdr:ext cx="47625" cy="180975"/>
    <xdr:sp macro="" textlink="">
      <xdr:nvSpPr>
        <xdr:cNvPr id="4" name="Shape 7">
          <a:extLst>
            <a:ext uri="{FF2B5EF4-FFF2-40B4-BE49-F238E27FC236}">
              <a16:creationId xmlns:a16="http://schemas.microsoft.com/office/drawing/2014/main" id="{713FA867-4F2A-44A5-95B0-F25EBE0826C2}"/>
            </a:ext>
          </a:extLst>
        </xdr:cNvPr>
        <xdr:cNvSpPr txBox="1"/>
      </xdr:nvSpPr>
      <xdr:spPr>
        <a:xfrm>
          <a:off x="1724025" y="10820400"/>
          <a:ext cx="476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561975</xdr:colOff>
      <xdr:row>44</xdr:row>
      <xdr:rowOff>104775</xdr:rowOff>
    </xdr:from>
    <xdr:ext cx="47625" cy="180975"/>
    <xdr:sp macro="" textlink="">
      <xdr:nvSpPr>
        <xdr:cNvPr id="5" name="Shape 7">
          <a:extLst>
            <a:ext uri="{FF2B5EF4-FFF2-40B4-BE49-F238E27FC236}">
              <a16:creationId xmlns:a16="http://schemas.microsoft.com/office/drawing/2014/main" id="{674F8213-BD94-494D-91F3-62119224556E}"/>
            </a:ext>
          </a:extLst>
        </xdr:cNvPr>
        <xdr:cNvSpPr txBox="1"/>
      </xdr:nvSpPr>
      <xdr:spPr>
        <a:xfrm>
          <a:off x="1724025" y="10620375"/>
          <a:ext cx="476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561975</xdr:colOff>
      <xdr:row>45</xdr:row>
      <xdr:rowOff>104775</xdr:rowOff>
    </xdr:from>
    <xdr:ext cx="47625" cy="180975"/>
    <xdr:sp macro="" textlink="">
      <xdr:nvSpPr>
        <xdr:cNvPr id="6" name="Shape 7">
          <a:extLst>
            <a:ext uri="{FF2B5EF4-FFF2-40B4-BE49-F238E27FC236}">
              <a16:creationId xmlns:a16="http://schemas.microsoft.com/office/drawing/2014/main" id="{E6A15524-0722-416B-902B-4EBBB222DDA2}"/>
            </a:ext>
          </a:extLst>
        </xdr:cNvPr>
        <xdr:cNvSpPr txBox="1"/>
      </xdr:nvSpPr>
      <xdr:spPr>
        <a:xfrm>
          <a:off x="1724025" y="10820400"/>
          <a:ext cx="476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561975</xdr:colOff>
      <xdr:row>44</xdr:row>
      <xdr:rowOff>104775</xdr:rowOff>
    </xdr:from>
    <xdr:ext cx="47625" cy="1809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EFCE47D8-48C9-4ADA-8344-805040CD23D2}"/>
            </a:ext>
          </a:extLst>
        </xdr:cNvPr>
        <xdr:cNvSpPr txBox="1"/>
      </xdr:nvSpPr>
      <xdr:spPr>
        <a:xfrm>
          <a:off x="2305050" y="10620375"/>
          <a:ext cx="476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561975</xdr:colOff>
      <xdr:row>45</xdr:row>
      <xdr:rowOff>104775</xdr:rowOff>
    </xdr:from>
    <xdr:ext cx="47625" cy="1809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B506A102-3998-4CAD-B42D-4FF0ADB8D4E1}"/>
            </a:ext>
          </a:extLst>
        </xdr:cNvPr>
        <xdr:cNvSpPr txBox="1"/>
      </xdr:nvSpPr>
      <xdr:spPr>
        <a:xfrm>
          <a:off x="2305050" y="10820400"/>
          <a:ext cx="476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561975</xdr:colOff>
      <xdr:row>44</xdr:row>
      <xdr:rowOff>104775</xdr:rowOff>
    </xdr:from>
    <xdr:ext cx="47625" cy="1809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715E4864-AC4A-42FA-A36C-C965673729AC}"/>
            </a:ext>
          </a:extLst>
        </xdr:cNvPr>
        <xdr:cNvSpPr txBox="1"/>
      </xdr:nvSpPr>
      <xdr:spPr>
        <a:xfrm>
          <a:off x="2305050" y="10620375"/>
          <a:ext cx="476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561975</xdr:colOff>
      <xdr:row>45</xdr:row>
      <xdr:rowOff>104775</xdr:rowOff>
    </xdr:from>
    <xdr:ext cx="47625" cy="1809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C604ED85-60BD-49D3-9032-7696C981399E}"/>
            </a:ext>
          </a:extLst>
        </xdr:cNvPr>
        <xdr:cNvSpPr txBox="1"/>
      </xdr:nvSpPr>
      <xdr:spPr>
        <a:xfrm>
          <a:off x="2305050" y="10820400"/>
          <a:ext cx="476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561975</xdr:colOff>
      <xdr:row>44</xdr:row>
      <xdr:rowOff>104775</xdr:rowOff>
    </xdr:from>
    <xdr:ext cx="47625" cy="1809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E7E9C5AC-D7DA-4161-80E8-96DC76954AEA}"/>
            </a:ext>
          </a:extLst>
        </xdr:cNvPr>
        <xdr:cNvSpPr txBox="1"/>
      </xdr:nvSpPr>
      <xdr:spPr>
        <a:xfrm>
          <a:off x="2305050" y="10620375"/>
          <a:ext cx="476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561975</xdr:colOff>
      <xdr:row>44</xdr:row>
      <xdr:rowOff>104775</xdr:rowOff>
    </xdr:from>
    <xdr:ext cx="47625" cy="1809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CD766471-DFBD-491B-9BA0-C8D6180BD377}"/>
            </a:ext>
          </a:extLst>
        </xdr:cNvPr>
        <xdr:cNvSpPr txBox="1"/>
      </xdr:nvSpPr>
      <xdr:spPr>
        <a:xfrm>
          <a:off x="2305050" y="10620375"/>
          <a:ext cx="476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561975</xdr:colOff>
      <xdr:row>45</xdr:row>
      <xdr:rowOff>104775</xdr:rowOff>
    </xdr:from>
    <xdr:ext cx="47625" cy="180975"/>
    <xdr:sp macro="" textlink="">
      <xdr:nvSpPr>
        <xdr:cNvPr id="13" name="Shape 7">
          <a:extLst>
            <a:ext uri="{FF2B5EF4-FFF2-40B4-BE49-F238E27FC236}">
              <a16:creationId xmlns:a16="http://schemas.microsoft.com/office/drawing/2014/main" id="{58B809F9-A70E-451C-948F-CFF7898DB4D3}"/>
            </a:ext>
          </a:extLst>
        </xdr:cNvPr>
        <xdr:cNvSpPr txBox="1"/>
      </xdr:nvSpPr>
      <xdr:spPr>
        <a:xfrm>
          <a:off x="2305050" y="10820400"/>
          <a:ext cx="476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561975</xdr:colOff>
      <xdr:row>44</xdr:row>
      <xdr:rowOff>104775</xdr:rowOff>
    </xdr:from>
    <xdr:ext cx="47625" cy="180975"/>
    <xdr:sp macro="" textlink="">
      <xdr:nvSpPr>
        <xdr:cNvPr id="14" name="Shape 7">
          <a:extLst>
            <a:ext uri="{FF2B5EF4-FFF2-40B4-BE49-F238E27FC236}">
              <a16:creationId xmlns:a16="http://schemas.microsoft.com/office/drawing/2014/main" id="{9D8A0820-007F-44AA-AFD0-A410DDA8E090}"/>
            </a:ext>
          </a:extLst>
        </xdr:cNvPr>
        <xdr:cNvSpPr txBox="1"/>
      </xdr:nvSpPr>
      <xdr:spPr>
        <a:xfrm>
          <a:off x="1724025" y="10620375"/>
          <a:ext cx="476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561975</xdr:colOff>
      <xdr:row>45</xdr:row>
      <xdr:rowOff>104775</xdr:rowOff>
    </xdr:from>
    <xdr:ext cx="47625" cy="180975"/>
    <xdr:sp macro="" textlink="">
      <xdr:nvSpPr>
        <xdr:cNvPr id="15" name="Shape 7">
          <a:extLst>
            <a:ext uri="{FF2B5EF4-FFF2-40B4-BE49-F238E27FC236}">
              <a16:creationId xmlns:a16="http://schemas.microsoft.com/office/drawing/2014/main" id="{52ED17B0-C3AE-4B11-8B73-650F3FE3BBA6}"/>
            </a:ext>
          </a:extLst>
        </xdr:cNvPr>
        <xdr:cNvSpPr txBox="1"/>
      </xdr:nvSpPr>
      <xdr:spPr>
        <a:xfrm>
          <a:off x="1724025" y="10820400"/>
          <a:ext cx="476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561975</xdr:colOff>
      <xdr:row>44</xdr:row>
      <xdr:rowOff>104775</xdr:rowOff>
    </xdr:from>
    <xdr:ext cx="47625" cy="180975"/>
    <xdr:sp macro="" textlink="">
      <xdr:nvSpPr>
        <xdr:cNvPr id="16" name="Shape 7">
          <a:extLst>
            <a:ext uri="{FF2B5EF4-FFF2-40B4-BE49-F238E27FC236}">
              <a16:creationId xmlns:a16="http://schemas.microsoft.com/office/drawing/2014/main" id="{2BBF9E39-1D87-40D4-B063-3E6E70EC1DB6}"/>
            </a:ext>
          </a:extLst>
        </xdr:cNvPr>
        <xdr:cNvSpPr txBox="1"/>
      </xdr:nvSpPr>
      <xdr:spPr>
        <a:xfrm>
          <a:off x="1724025" y="10620375"/>
          <a:ext cx="476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561975</xdr:colOff>
      <xdr:row>45</xdr:row>
      <xdr:rowOff>104775</xdr:rowOff>
    </xdr:from>
    <xdr:ext cx="47625" cy="180975"/>
    <xdr:sp macro="" textlink="">
      <xdr:nvSpPr>
        <xdr:cNvPr id="17" name="Shape 7">
          <a:extLst>
            <a:ext uri="{FF2B5EF4-FFF2-40B4-BE49-F238E27FC236}">
              <a16:creationId xmlns:a16="http://schemas.microsoft.com/office/drawing/2014/main" id="{5096B358-1742-4636-8C21-986C726B8634}"/>
            </a:ext>
          </a:extLst>
        </xdr:cNvPr>
        <xdr:cNvSpPr txBox="1"/>
      </xdr:nvSpPr>
      <xdr:spPr>
        <a:xfrm>
          <a:off x="1724025" y="10820400"/>
          <a:ext cx="476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561975</xdr:colOff>
      <xdr:row>44</xdr:row>
      <xdr:rowOff>104775</xdr:rowOff>
    </xdr:from>
    <xdr:ext cx="47625" cy="180975"/>
    <xdr:sp macro="" textlink="">
      <xdr:nvSpPr>
        <xdr:cNvPr id="18" name="Shape 7">
          <a:extLst>
            <a:ext uri="{FF2B5EF4-FFF2-40B4-BE49-F238E27FC236}">
              <a16:creationId xmlns:a16="http://schemas.microsoft.com/office/drawing/2014/main" id="{8D393879-7527-4F40-85CC-C07097B1EAD4}"/>
            </a:ext>
          </a:extLst>
        </xdr:cNvPr>
        <xdr:cNvSpPr txBox="1"/>
      </xdr:nvSpPr>
      <xdr:spPr>
        <a:xfrm>
          <a:off x="2305050" y="10620375"/>
          <a:ext cx="476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561975</xdr:colOff>
      <xdr:row>45</xdr:row>
      <xdr:rowOff>104775</xdr:rowOff>
    </xdr:from>
    <xdr:ext cx="47625" cy="180975"/>
    <xdr:sp macro="" textlink="">
      <xdr:nvSpPr>
        <xdr:cNvPr id="19" name="Shape 7">
          <a:extLst>
            <a:ext uri="{FF2B5EF4-FFF2-40B4-BE49-F238E27FC236}">
              <a16:creationId xmlns:a16="http://schemas.microsoft.com/office/drawing/2014/main" id="{740C098E-10ED-4480-9518-B18E23DF1C9A}"/>
            </a:ext>
          </a:extLst>
        </xdr:cNvPr>
        <xdr:cNvSpPr txBox="1"/>
      </xdr:nvSpPr>
      <xdr:spPr>
        <a:xfrm>
          <a:off x="2305050" y="10820400"/>
          <a:ext cx="476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561975</xdr:colOff>
      <xdr:row>44</xdr:row>
      <xdr:rowOff>104775</xdr:rowOff>
    </xdr:from>
    <xdr:ext cx="47625" cy="180975"/>
    <xdr:sp macro="" textlink="">
      <xdr:nvSpPr>
        <xdr:cNvPr id="20" name="Shape 7">
          <a:extLst>
            <a:ext uri="{FF2B5EF4-FFF2-40B4-BE49-F238E27FC236}">
              <a16:creationId xmlns:a16="http://schemas.microsoft.com/office/drawing/2014/main" id="{27863EBF-FA63-46A3-A820-F0B2FB48AE4F}"/>
            </a:ext>
          </a:extLst>
        </xdr:cNvPr>
        <xdr:cNvSpPr txBox="1"/>
      </xdr:nvSpPr>
      <xdr:spPr>
        <a:xfrm>
          <a:off x="2305050" y="10620375"/>
          <a:ext cx="476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561975</xdr:colOff>
      <xdr:row>45</xdr:row>
      <xdr:rowOff>104775</xdr:rowOff>
    </xdr:from>
    <xdr:ext cx="47625" cy="180975"/>
    <xdr:sp macro="" textlink="">
      <xdr:nvSpPr>
        <xdr:cNvPr id="21" name="Shape 7">
          <a:extLst>
            <a:ext uri="{FF2B5EF4-FFF2-40B4-BE49-F238E27FC236}">
              <a16:creationId xmlns:a16="http://schemas.microsoft.com/office/drawing/2014/main" id="{E4440AB2-63B3-4AE5-9DDD-51FDF817EA17}"/>
            </a:ext>
          </a:extLst>
        </xdr:cNvPr>
        <xdr:cNvSpPr txBox="1"/>
      </xdr:nvSpPr>
      <xdr:spPr>
        <a:xfrm>
          <a:off x="2305050" y="10820400"/>
          <a:ext cx="476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561975</xdr:colOff>
      <xdr:row>44</xdr:row>
      <xdr:rowOff>104775</xdr:rowOff>
    </xdr:from>
    <xdr:ext cx="47625" cy="180975"/>
    <xdr:sp macro="" textlink="">
      <xdr:nvSpPr>
        <xdr:cNvPr id="22" name="Shape 7">
          <a:extLst>
            <a:ext uri="{FF2B5EF4-FFF2-40B4-BE49-F238E27FC236}">
              <a16:creationId xmlns:a16="http://schemas.microsoft.com/office/drawing/2014/main" id="{36C8EDF5-124F-4369-8937-A11FF0BBBAB4}"/>
            </a:ext>
          </a:extLst>
        </xdr:cNvPr>
        <xdr:cNvSpPr txBox="1"/>
      </xdr:nvSpPr>
      <xdr:spPr>
        <a:xfrm>
          <a:off x="2305050" y="10620375"/>
          <a:ext cx="476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561975</xdr:colOff>
      <xdr:row>44</xdr:row>
      <xdr:rowOff>104775</xdr:rowOff>
    </xdr:from>
    <xdr:ext cx="47625" cy="180975"/>
    <xdr:sp macro="" textlink="">
      <xdr:nvSpPr>
        <xdr:cNvPr id="23" name="Shape 7">
          <a:extLst>
            <a:ext uri="{FF2B5EF4-FFF2-40B4-BE49-F238E27FC236}">
              <a16:creationId xmlns:a16="http://schemas.microsoft.com/office/drawing/2014/main" id="{89D8504A-4E49-4FAD-ACA5-367550C8753A}"/>
            </a:ext>
          </a:extLst>
        </xdr:cNvPr>
        <xdr:cNvSpPr txBox="1"/>
      </xdr:nvSpPr>
      <xdr:spPr>
        <a:xfrm>
          <a:off x="2305050" y="10620375"/>
          <a:ext cx="476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561975</xdr:colOff>
      <xdr:row>45</xdr:row>
      <xdr:rowOff>104775</xdr:rowOff>
    </xdr:from>
    <xdr:ext cx="47625" cy="180975"/>
    <xdr:sp macro="" textlink="">
      <xdr:nvSpPr>
        <xdr:cNvPr id="24" name="Shape 7">
          <a:extLst>
            <a:ext uri="{FF2B5EF4-FFF2-40B4-BE49-F238E27FC236}">
              <a16:creationId xmlns:a16="http://schemas.microsoft.com/office/drawing/2014/main" id="{AEC319B6-47F6-4A30-AB20-675F9BDAE5FD}"/>
            </a:ext>
          </a:extLst>
        </xdr:cNvPr>
        <xdr:cNvSpPr txBox="1"/>
      </xdr:nvSpPr>
      <xdr:spPr>
        <a:xfrm>
          <a:off x="2305050" y="10820400"/>
          <a:ext cx="476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561975</xdr:colOff>
      <xdr:row>39</xdr:row>
      <xdr:rowOff>104775</xdr:rowOff>
    </xdr:from>
    <xdr:ext cx="47625" cy="180975"/>
    <xdr:sp macro="" textlink="">
      <xdr:nvSpPr>
        <xdr:cNvPr id="25" name="Shape 7">
          <a:extLst>
            <a:ext uri="{FF2B5EF4-FFF2-40B4-BE49-F238E27FC236}">
              <a16:creationId xmlns:a16="http://schemas.microsoft.com/office/drawing/2014/main" id="{98E1D1BA-050B-4C2B-9B6F-968B4B9A2F73}"/>
            </a:ext>
          </a:extLst>
        </xdr:cNvPr>
        <xdr:cNvSpPr txBox="1"/>
      </xdr:nvSpPr>
      <xdr:spPr>
        <a:xfrm>
          <a:off x="3467100" y="9620250"/>
          <a:ext cx="476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twoCellAnchor editAs="oneCell">
    <xdr:from>
      <xdr:col>0</xdr:col>
      <xdr:colOff>0</xdr:colOff>
      <xdr:row>4</xdr:row>
      <xdr:rowOff>159582</xdr:rowOff>
    </xdr:from>
    <xdr:to>
      <xdr:col>3</xdr:col>
      <xdr:colOff>19050</xdr:colOff>
      <xdr:row>17</xdr:row>
      <xdr:rowOff>31349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31B100C9-2640-46D7-858F-2F9542F6A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594669"/>
          <a:ext cx="1857789" cy="2348267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4</xdr:row>
      <xdr:rowOff>12591</xdr:rowOff>
    </xdr:from>
    <xdr:to>
      <xdr:col>9</xdr:col>
      <xdr:colOff>31011</xdr:colOff>
      <xdr:row>19</xdr:row>
      <xdr:rowOff>19050</xdr:rowOff>
    </xdr:to>
    <xdr:pic>
      <xdr:nvPicPr>
        <xdr:cNvPr id="27" name="Рисунок 26">
          <a:extLst>
            <a:ext uri="{FF2B5EF4-FFF2-40B4-BE49-F238E27FC236}">
              <a16:creationId xmlns:a16="http://schemas.microsoft.com/office/drawing/2014/main" id="{DC3AD22C-F7EE-4730-B780-A29249062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38325" y="2441466"/>
          <a:ext cx="3679086" cy="286395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15</xdr:col>
      <xdr:colOff>301849</xdr:colOff>
      <xdr:row>29</xdr:row>
      <xdr:rowOff>84073</xdr:rowOff>
    </xdr:to>
    <xdr:pic>
      <xdr:nvPicPr>
        <xdr:cNvPr id="28" name="Рисунок 27">
          <a:extLst>
            <a:ext uri="{FF2B5EF4-FFF2-40B4-BE49-F238E27FC236}">
              <a16:creationId xmlns:a16="http://schemas.microsoft.com/office/drawing/2014/main" id="{C41BDEA5-1D4B-4AC2-A959-F33630C42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498224" y="2430517"/>
          <a:ext cx="3967332" cy="4846573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51</xdr:row>
      <xdr:rowOff>9525</xdr:rowOff>
    </xdr:from>
    <xdr:ext cx="4657724" cy="3219450"/>
    <xdr:pic>
      <xdr:nvPicPr>
        <xdr:cNvPr id="29" name="image2.png">
          <a:extLst>
            <a:ext uri="{FF2B5EF4-FFF2-40B4-BE49-F238E27FC236}">
              <a16:creationId xmlns:a16="http://schemas.microsoft.com/office/drawing/2014/main" id="{CF57FBD1-6EDB-4FE3-BE1A-601187938EF3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11391900"/>
          <a:ext cx="4657724" cy="32194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0</xdr:colOff>
      <xdr:row>68</xdr:row>
      <xdr:rowOff>0</xdr:rowOff>
    </xdr:from>
    <xdr:to>
      <xdr:col>5</xdr:col>
      <xdr:colOff>112344</xdr:colOff>
      <xdr:row>82</xdr:row>
      <xdr:rowOff>33617</xdr:rowOff>
    </xdr:to>
    <xdr:pic>
      <xdr:nvPicPr>
        <xdr:cNvPr id="30" name="Рисунок 29">
          <a:extLst>
            <a:ext uri="{FF2B5EF4-FFF2-40B4-BE49-F238E27FC236}">
              <a16:creationId xmlns:a16="http://schemas.microsoft.com/office/drawing/2014/main" id="{CFEB6921-E7B9-426C-8DEE-168739DEF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4612471"/>
          <a:ext cx="3137932" cy="2700617"/>
        </a:xfrm>
        <a:prstGeom prst="rect">
          <a:avLst/>
        </a:prstGeom>
      </xdr:spPr>
    </xdr:pic>
    <xdr:clientData/>
  </xdr:twoCellAnchor>
  <xdr:twoCellAnchor editAs="oneCell">
    <xdr:from>
      <xdr:col>5</xdr:col>
      <xdr:colOff>63788</xdr:colOff>
      <xdr:row>67</xdr:row>
      <xdr:rowOff>165072</xdr:rowOff>
    </xdr:from>
    <xdr:to>
      <xdr:col>11</xdr:col>
      <xdr:colOff>130478</xdr:colOff>
      <xdr:row>81</xdr:row>
      <xdr:rowOff>7326</xdr:rowOff>
    </xdr:to>
    <xdr:pic>
      <xdr:nvPicPr>
        <xdr:cNvPr id="31" name="Рисунок 30">
          <a:extLst>
            <a:ext uri="{FF2B5EF4-FFF2-40B4-BE49-F238E27FC236}">
              <a16:creationId xmlns:a16="http://schemas.microsoft.com/office/drawing/2014/main" id="{362DDC19-4B95-458B-9B81-D5D05C63A3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04461" y="14591784"/>
          <a:ext cx="3715498" cy="2509254"/>
        </a:xfrm>
        <a:prstGeom prst="rect">
          <a:avLst/>
        </a:prstGeom>
      </xdr:spPr>
    </xdr:pic>
    <xdr:clientData/>
  </xdr:twoCellAnchor>
  <xdr:twoCellAnchor editAs="oneCell">
    <xdr:from>
      <xdr:col>10</xdr:col>
      <xdr:colOff>570207</xdr:colOff>
      <xdr:row>67</xdr:row>
      <xdr:rowOff>176257</xdr:rowOff>
    </xdr:from>
    <xdr:to>
      <xdr:col>16</xdr:col>
      <xdr:colOff>571501</xdr:colOff>
      <xdr:row>92</xdr:row>
      <xdr:rowOff>172122</xdr:rowOff>
    </xdr:to>
    <xdr:pic>
      <xdr:nvPicPr>
        <xdr:cNvPr id="32" name="Рисунок 31">
          <a:extLst>
            <a:ext uri="{FF2B5EF4-FFF2-40B4-BE49-F238E27FC236}">
              <a16:creationId xmlns:a16="http://schemas.microsoft.com/office/drawing/2014/main" id="{EC4A4457-6BF7-4073-AEFE-773E74BA6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651553" y="14602969"/>
          <a:ext cx="3650102" cy="4758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2"/>
  <sheetViews>
    <sheetView tabSelected="1" topLeftCell="A77" zoomScale="115" zoomScaleNormal="115" workbookViewId="0">
      <selection activeCell="F114" sqref="F114"/>
    </sheetView>
  </sheetViews>
  <sheetFormatPr defaultRowHeight="15" x14ac:dyDescent="0.25"/>
  <sheetData>
    <row r="1" spans="1:14" x14ac:dyDescent="0.25">
      <c r="A1" t="s">
        <v>0</v>
      </c>
    </row>
    <row r="2" spans="1:14" x14ac:dyDescent="0.25">
      <c r="A2" t="s">
        <v>16</v>
      </c>
    </row>
    <row r="3" spans="1:14" ht="13.5" customHeight="1" x14ac:dyDescent="0.25">
      <c r="A3" t="s">
        <v>13</v>
      </c>
    </row>
    <row r="4" spans="1:14" ht="147.75" customHeight="1" x14ac:dyDescent="0.25">
      <c r="A4" s="10" t="s">
        <v>12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1"/>
    </row>
    <row r="31" spans="1:1" x14ac:dyDescent="0.25">
      <c r="A31" t="s">
        <v>14</v>
      </c>
    </row>
    <row r="33" spans="1:6" x14ac:dyDescent="0.25">
      <c r="A33" t="s">
        <v>1</v>
      </c>
    </row>
    <row r="35" spans="1:6" x14ac:dyDescent="0.25">
      <c r="A35" s="1" t="s">
        <v>2</v>
      </c>
    </row>
    <row r="36" spans="1:6" x14ac:dyDescent="0.25">
      <c r="A36" s="1" t="s">
        <v>3</v>
      </c>
      <c r="B36" s="1" t="s">
        <v>4</v>
      </c>
    </row>
    <row r="37" spans="1:6" x14ac:dyDescent="0.25">
      <c r="A37" s="2">
        <v>1500</v>
      </c>
      <c r="B37" s="2">
        <v>1250</v>
      </c>
    </row>
    <row r="38" spans="1:6" x14ac:dyDescent="0.25">
      <c r="A38" s="1" t="s">
        <v>5</v>
      </c>
      <c r="C38" s="3" t="s">
        <v>6</v>
      </c>
    </row>
    <row r="39" spans="1:6" x14ac:dyDescent="0.25">
      <c r="A39" s="4">
        <v>30</v>
      </c>
      <c r="B39" s="4">
        <v>40</v>
      </c>
      <c r="C39" s="5">
        <f>SUMPRODUCT(A37:B37,A39:B39)</f>
        <v>95000</v>
      </c>
    </row>
    <row r="40" spans="1:6" x14ac:dyDescent="0.25">
      <c r="A40" s="1" t="s">
        <v>7</v>
      </c>
      <c r="C40" s="6"/>
      <c r="E40" s="1" t="s">
        <v>8</v>
      </c>
    </row>
    <row r="41" spans="1:6" x14ac:dyDescent="0.25">
      <c r="A41" s="4">
        <v>1</v>
      </c>
      <c r="B41" s="4">
        <v>2</v>
      </c>
      <c r="C41" s="7">
        <f>SUMPRODUCT(A41:B41,$A$37:$B$37)</f>
        <v>4000</v>
      </c>
      <c r="D41" s="8" t="s">
        <v>9</v>
      </c>
      <c r="E41" s="9">
        <v>4000</v>
      </c>
      <c r="F41" s="8" t="s">
        <v>10</v>
      </c>
    </row>
    <row r="42" spans="1:6" x14ac:dyDescent="0.25">
      <c r="A42" s="4">
        <v>1</v>
      </c>
      <c r="B42" s="4">
        <v>0</v>
      </c>
      <c r="C42" s="7">
        <f t="shared" ref="C42:C47" si="0">SUMPRODUCT(A42:B42,$A$37:$B$37)</f>
        <v>1500</v>
      </c>
      <c r="D42" s="8" t="s">
        <v>9</v>
      </c>
      <c r="E42" s="9">
        <v>2250</v>
      </c>
      <c r="F42" s="8" t="s">
        <v>9</v>
      </c>
    </row>
    <row r="43" spans="1:6" x14ac:dyDescent="0.25">
      <c r="A43" s="4">
        <v>0</v>
      </c>
      <c r="B43" s="4">
        <v>1</v>
      </c>
      <c r="C43" s="7">
        <f t="shared" si="0"/>
        <v>1250</v>
      </c>
      <c r="D43" s="8" t="s">
        <v>9</v>
      </c>
      <c r="E43" s="9">
        <v>1750</v>
      </c>
      <c r="F43" s="1"/>
    </row>
    <row r="44" spans="1:6" x14ac:dyDescent="0.25">
      <c r="A44" s="4">
        <v>2</v>
      </c>
      <c r="B44" s="4">
        <v>5</v>
      </c>
      <c r="C44" s="7">
        <f t="shared" si="0"/>
        <v>9250</v>
      </c>
      <c r="D44" s="8" t="s">
        <v>9</v>
      </c>
      <c r="E44" s="9">
        <v>10000</v>
      </c>
    </row>
    <row r="45" spans="1:6" x14ac:dyDescent="0.25">
      <c r="A45" s="4">
        <v>5</v>
      </c>
      <c r="B45" s="4">
        <v>2</v>
      </c>
      <c r="C45" s="7">
        <f t="shared" si="0"/>
        <v>10000</v>
      </c>
      <c r="D45" s="8" t="s">
        <v>9</v>
      </c>
      <c r="E45" s="9">
        <v>10000</v>
      </c>
    </row>
    <row r="46" spans="1:6" x14ac:dyDescent="0.25">
      <c r="A46" s="4">
        <v>1</v>
      </c>
      <c r="B46" s="4">
        <v>0</v>
      </c>
      <c r="C46" s="7">
        <f t="shared" si="0"/>
        <v>1500</v>
      </c>
      <c r="D46" s="8" t="s">
        <v>10</v>
      </c>
      <c r="E46" s="9">
        <v>600</v>
      </c>
    </row>
    <row r="47" spans="1:6" x14ac:dyDescent="0.25">
      <c r="A47" s="4">
        <v>1</v>
      </c>
      <c r="B47" s="4">
        <v>1</v>
      </c>
      <c r="C47" s="7">
        <f t="shared" si="0"/>
        <v>2750</v>
      </c>
      <c r="D47" s="8" t="s">
        <v>10</v>
      </c>
      <c r="E47" s="9">
        <v>1500</v>
      </c>
    </row>
    <row r="49" spans="1:12" x14ac:dyDescent="0.25">
      <c r="A49" s="1" t="s">
        <v>11</v>
      </c>
    </row>
    <row r="51" spans="1:12" x14ac:dyDescent="0.25">
      <c r="A51" t="s">
        <v>15</v>
      </c>
    </row>
    <row r="53" spans="1:12" x14ac:dyDescent="0.25">
      <c r="I53" s="12"/>
      <c r="J53" s="12"/>
      <c r="K53" s="13"/>
      <c r="L53" s="12"/>
    </row>
    <row r="54" spans="1:12" x14ac:dyDescent="0.25">
      <c r="I54" s="12"/>
      <c r="J54" s="12"/>
      <c r="K54" s="13"/>
      <c r="L54" s="12"/>
    </row>
    <row r="55" spans="1:12" x14ac:dyDescent="0.25">
      <c r="I55" s="12"/>
      <c r="J55" s="12"/>
      <c r="K55" s="13"/>
      <c r="L55" s="12"/>
    </row>
    <row r="56" spans="1:12" x14ac:dyDescent="0.25">
      <c r="I56" s="12"/>
      <c r="J56" s="12"/>
    </row>
    <row r="57" spans="1:12" x14ac:dyDescent="0.25">
      <c r="I57" s="12"/>
    </row>
    <row r="58" spans="1:12" x14ac:dyDescent="0.25">
      <c r="I58" s="12"/>
    </row>
    <row r="59" spans="1:12" x14ac:dyDescent="0.25">
      <c r="I59" s="12"/>
    </row>
    <row r="60" spans="1:12" x14ac:dyDescent="0.25">
      <c r="I60" s="12"/>
    </row>
    <row r="61" spans="1:12" x14ac:dyDescent="0.25">
      <c r="I61" s="12"/>
    </row>
    <row r="62" spans="1:12" x14ac:dyDescent="0.25">
      <c r="I62" s="12"/>
    </row>
    <row r="63" spans="1:12" x14ac:dyDescent="0.25">
      <c r="I63" s="12"/>
    </row>
    <row r="95" spans="1:1" x14ac:dyDescent="0.25">
      <c r="A95" t="s">
        <v>17</v>
      </c>
    </row>
    <row r="97" spans="1:5" x14ac:dyDescent="0.25">
      <c r="A97" t="s">
        <v>1</v>
      </c>
    </row>
    <row r="99" spans="1:5" x14ac:dyDescent="0.25">
      <c r="A99" s="1" t="s">
        <v>2</v>
      </c>
    </row>
    <row r="101" spans="1:5" x14ac:dyDescent="0.25">
      <c r="A101" s="1" t="s">
        <v>3</v>
      </c>
      <c r="B101" s="1" t="s">
        <v>4</v>
      </c>
    </row>
    <row r="102" spans="1:5" x14ac:dyDescent="0.25">
      <c r="A102" s="14">
        <v>3.3333333333333335</v>
      </c>
      <c r="B102" s="14">
        <v>1.3333333333333333</v>
      </c>
    </row>
    <row r="104" spans="1:5" x14ac:dyDescent="0.25">
      <c r="A104" s="1" t="s">
        <v>5</v>
      </c>
      <c r="C104" s="3" t="s">
        <v>6</v>
      </c>
    </row>
    <row r="105" spans="1:5" x14ac:dyDescent="0.25">
      <c r="A105" s="4">
        <v>3</v>
      </c>
      <c r="B105" s="4">
        <v>2</v>
      </c>
      <c r="C105" s="15">
        <f>SUMPRODUCT(A102:B102,A105:B105)</f>
        <v>12.666666666666666</v>
      </c>
    </row>
    <row r="106" spans="1:5" x14ac:dyDescent="0.25">
      <c r="A106" s="1" t="s">
        <v>7</v>
      </c>
      <c r="C106" s="6"/>
      <c r="E106" s="1" t="s">
        <v>8</v>
      </c>
    </row>
    <row r="107" spans="1:5" x14ac:dyDescent="0.25">
      <c r="A107" s="4">
        <v>1</v>
      </c>
      <c r="B107" s="4">
        <v>2</v>
      </c>
      <c r="C107" s="7">
        <f>SUMPRODUCT(A107:B107,$A$102:$B$102)</f>
        <v>6</v>
      </c>
      <c r="D107" s="8" t="s">
        <v>9</v>
      </c>
      <c r="E107" s="9">
        <v>6</v>
      </c>
    </row>
    <row r="108" spans="1:5" x14ac:dyDescent="0.25">
      <c r="A108" s="4">
        <v>2</v>
      </c>
      <c r="B108" s="4">
        <v>1</v>
      </c>
      <c r="C108" s="7">
        <f>SUMPRODUCT(A108:B108,$A$102:$B$102)</f>
        <v>8</v>
      </c>
      <c r="D108" s="8" t="s">
        <v>9</v>
      </c>
      <c r="E108" s="9">
        <v>8</v>
      </c>
    </row>
    <row r="109" spans="1:5" x14ac:dyDescent="0.25">
      <c r="A109" s="4">
        <v>-1</v>
      </c>
      <c r="B109" s="4">
        <v>1</v>
      </c>
      <c r="C109" s="7">
        <f>SUMPRODUCT(A109:B109,$A$102:$B$102)</f>
        <v>-2</v>
      </c>
      <c r="D109" s="8" t="s">
        <v>9</v>
      </c>
      <c r="E109" s="9">
        <v>1</v>
      </c>
    </row>
    <row r="110" spans="1:5" x14ac:dyDescent="0.25">
      <c r="A110" s="4">
        <v>0</v>
      </c>
      <c r="B110" s="4">
        <v>1</v>
      </c>
      <c r="C110" s="7">
        <f>SUMPRODUCT(A110:B110,$A$102:$B$102)</f>
        <v>1.3333333333333333</v>
      </c>
      <c r="D110" s="8" t="s">
        <v>9</v>
      </c>
      <c r="E110" s="9">
        <v>2</v>
      </c>
    </row>
    <row r="112" spans="1:5" x14ac:dyDescent="0.25">
      <c r="A112" s="1" t="s">
        <v>11</v>
      </c>
    </row>
  </sheetData>
  <mergeCells count="1">
    <mergeCell ref="A4:N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Человек Человеков</dc:creator>
  <cp:lastModifiedBy>Человек Человеков</cp:lastModifiedBy>
  <dcterms:created xsi:type="dcterms:W3CDTF">2015-06-05T18:19:34Z</dcterms:created>
  <dcterms:modified xsi:type="dcterms:W3CDTF">2026-10-12T15:35:49Z</dcterms:modified>
</cp:coreProperties>
</file>